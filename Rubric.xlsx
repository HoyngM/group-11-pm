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5"/>
  <workbookPr/>
  <mc:AlternateContent xmlns:mc="http://schemas.openxmlformats.org/markup-compatibility/2006">
    <mc:Choice Requires="x15">
      <x15ac:absPath xmlns:x15ac="http://schemas.microsoft.com/office/spreadsheetml/2010/11/ac" url="D:\working\waccache\AM1PEPF00001917\EXCELCNV\e701a579-ae5d-43cd-be43-1147763523bc\"/>
    </mc:Choice>
  </mc:AlternateContent>
  <xr:revisionPtr revIDLastSave="0" documentId="8_{7E10DCC0-26D2-4674-AA86-3CF1830700DD}" xr6:coauthVersionLast="47" xr6:coauthVersionMax="47" xr10:uidLastSave="{00000000-0000-0000-0000-000000000000}"/>
  <bookViews>
    <workbookView xWindow="-60" yWindow="-60" windowWidth="15480" windowHeight="11640" xr2:uid="{00000000-000D-0000-FFFF-FFFF00000000}"/>
  </bookViews>
  <sheets>
    <sheet name="Rubric_Explanation" sheetId="1" r:id="rId1"/>
    <sheet name="Rubric_ShortPaper" sheetId="3" r:id="rId2"/>
    <sheet name="Rubric_PosterandPitch"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3" l="1"/>
  <c r="J3" i="3"/>
  <c r="J4" i="3"/>
  <c r="J5" i="3"/>
  <c r="J6" i="3"/>
  <c r="J7" i="3"/>
  <c r="J8" i="3"/>
  <c r="H2" i="2"/>
  <c r="J4" i="2"/>
  <c r="J5" i="2"/>
  <c r="J6" i="2"/>
  <c r="J7" i="2"/>
  <c r="J8" i="2"/>
  <c r="J9" i="2"/>
  <c r="J2" i="3" l="1"/>
  <c r="J2" i="2"/>
</calcChain>
</file>

<file path=xl/sharedStrings.xml><?xml version="1.0" encoding="utf-8"?>
<sst xmlns="http://schemas.openxmlformats.org/spreadsheetml/2006/main" count="77" uniqueCount="63">
  <si>
    <t xml:space="preserve">The assignment contributes 30% to the final course grade and consists of multiple deliverables which contribute to the overall assignment grade as follows. </t>
  </si>
  <si>
    <t>Deliverable</t>
  </si>
  <si>
    <t>Percentage</t>
  </si>
  <si>
    <t>Remarks</t>
  </si>
  <si>
    <t>Short Paper</t>
  </si>
  <si>
    <t>detailed rubric see sheet Rubric_ShortPaper (use this for peer-review; S3 can only be partially checked as you do not have access to the implementation)</t>
  </si>
  <si>
    <t>Poster and Pitch</t>
  </si>
  <si>
    <t xml:space="preserve">detailed rubric see sheet Rubric_PosterandPitch  (use this for peer-review; P1 can only be partially checked as you do not have access to the short paper) </t>
  </si>
  <si>
    <t>Implementation</t>
  </si>
  <si>
    <t>pay attention to Code Structure and Understandability (10 points); Installation Instructions (3 points); Run Instructions (3 points); Correctness and Reproducibility (14 points) as described in the implementation instructions document; if you have developed a gold standard and your own artificial datasets you should submit them together with the implementation (anything that helps to reproduce your results should be provided)</t>
  </si>
  <si>
    <t>Peer-reviews</t>
  </si>
  <si>
    <r>
      <rPr>
        <sz val="11"/>
        <color rgb="FF000000"/>
        <rFont val="Aptos Narrow"/>
        <scheme val="minor"/>
      </rPr>
      <t xml:space="preserve">you have to deliver 3 peer reviews, 1) for the short paper draft of one other group (4 points), 2) poster session 1 for two groups (3 points), 3) poster session 2 for two groups (3 points); 1) is a group assignment, 2)+3) are </t>
    </r>
    <r>
      <rPr>
        <b/>
        <sz val="11"/>
        <color rgb="FF000000"/>
        <rFont val="Aptos Narrow"/>
        <scheme val="minor"/>
      </rPr>
      <t xml:space="preserve">individual assignments; </t>
    </r>
    <r>
      <rPr>
        <sz val="11"/>
        <color rgb="FF000000"/>
        <rFont val="Aptos Narrow"/>
        <scheme val="minor"/>
      </rPr>
      <t>the peer-review will be assessed on whether it is on-time, elaborate, constructive and complete w.r.t. the rubric. For the short paper we also expect that you provide improvement directions.</t>
    </r>
  </si>
  <si>
    <t>Technology Statement</t>
  </si>
  <si>
    <r>
      <rPr>
        <sz val="11"/>
        <color rgb="FF000000"/>
        <rFont val="Aptos Narrow"/>
        <scheme val="minor"/>
      </rPr>
      <t xml:space="preserve">Please note that the technology statement is a mandatory deliverable for the assignment and not providing it will lead to failing the assignment (0 points). In addition, </t>
    </r>
    <r>
      <rPr>
        <sz val="11"/>
        <color rgb="FFFF0000"/>
        <rFont val="Aptos Narrow"/>
        <scheme val="minor"/>
      </rPr>
      <t>please do not forget that all presenting groups will have to explain their assignment, in particular their implementation, to the lecturers after the poster sessions.</t>
    </r>
  </si>
  <si>
    <t>ID</t>
  </si>
  <si>
    <t>Item</t>
  </si>
  <si>
    <t>Insufficient (1-5)</t>
  </si>
  <si>
    <t>Sufficient (6)</t>
  </si>
  <si>
    <t>Good (7-8)</t>
  </si>
  <si>
    <t>Very Good (9-10)</t>
  </si>
  <si>
    <t>Max. Points</t>
  </si>
  <si>
    <t>Grade</t>
  </si>
  <si>
    <t>Achieved Points</t>
  </si>
  <si>
    <t>Explanation/Feedback</t>
  </si>
  <si>
    <t>Overall</t>
  </si>
  <si>
    <t>S1</t>
  </si>
  <si>
    <t>Motivation and Scientific Background</t>
  </si>
  <si>
    <t>The scientific motivation and relevance of the approach are correctly, comprehensively and understandably described using a concrete use case and/or a comprehensive example. An explanation how the topic is embedded in the course and related to the other course topics is provided.  Commonalities and differences to other topics are described and explained.</t>
  </si>
  <si>
    <t>S2</t>
  </si>
  <si>
    <t>Conceptual Approach</t>
  </si>
  <si>
    <t>The input required for the methods/algorithms, e.g., event log, process model, their formats, etc. are clearly and correctly explained. If applicable, parameters and their purpose are clearly and correctly explained. All crucial steps of the approach are explained including sound rationales. This means that a detail method description and motivation is provided. The output of the methods/algorithms is clearly and correctly explained and, if applicable, also visualized.</t>
  </si>
  <si>
    <t>S3</t>
  </si>
  <si>
    <t xml:space="preserve">Relevant implementation details are provided to complement the description of the conceptual approach in order to ensure reproducibility. This description matches the actual implementation. Note that the implementation as such is graded separately. </t>
  </si>
  <si>
    <t>S4</t>
  </si>
  <si>
    <t>Evaluation Design and Results</t>
  </si>
  <si>
    <t>The data used for the evaluation is described in sufficient detail.
The evaluation design is correct, clearly described and motivated. The results are explained in sufficient detail including, if applicable, corner cases/cases that failed along with an explanation why they failed. The results are visualized in a comprehensive, understandable and correct manner using, e.g., tables, figures and similar. How the gold standard (ground truth) to be able to test the correctness of the approach was generated is clearly explained and reasonable. If applicable, parameter settings are explained, comprehensively tested and their selection (e.g., if thresholds can be set) are clearly motivated. If applicable, the results are comprehensively compared to relevant related algorithms/methods.</t>
  </si>
  <si>
    <t>S5</t>
  </si>
  <si>
    <t>Limitations and Future Work</t>
  </si>
  <si>
    <t>Limitations of the conceptual approach and/or limitations observed based on the evaluation results are derived and explained. Future work is outlined and linked to either the limitations of the approach as such and/or the overall topic.</t>
  </si>
  <si>
    <t>S6</t>
  </si>
  <si>
    <t>Report Quality, Structure and Appearance</t>
  </si>
  <si>
    <t>The report adheres to the given page limit. The page limit is used adequately, i.e., the weighting of the different sub-sections reflects their importance. Academic language and terminology are used properly. There is effective use of visualizations, i.e., content is not only presented through textual information but supported by appropriate visualizations (including tables, figures, etc.). Statements are supported by relevant scientific literature.</t>
  </si>
  <si>
    <t>P1</t>
  </si>
  <si>
    <t>Content</t>
  </si>
  <si>
    <t>The content of the poster is correct and complete. It matches the content of the short paper. Note that the content as such is graded mainly through the short paper.</t>
  </si>
  <si>
    <t>P2</t>
  </si>
  <si>
    <t>Structure</t>
  </si>
  <si>
    <t>The poster is structured based on the provided template. The template is reasonably extended in case necessary. The structure is followed during the pitch. The connection between the different parts is clear and logically presented.</t>
  </si>
  <si>
    <t>P3</t>
  </si>
  <si>
    <t>Timing</t>
  </si>
  <si>
    <t>The overall time frame of 3 minutes is used adequately (not too short and not exceeded). The different parts of the pitch are allocated a reasonable amount of time considering their importance.</t>
  </si>
  <si>
    <t>P4</t>
  </si>
  <si>
    <t>Terminology and Presentation Style</t>
  </si>
  <si>
    <t>Academic language and terminology are used properly. Presentation style during the pitch is adequate.</t>
  </si>
  <si>
    <t>P5</t>
  </si>
  <si>
    <t>Visualizations</t>
  </si>
  <si>
    <t>There is effective use of visualizations, i.e., content is not only presented through textual information but supported by appropriate visualizations.</t>
  </si>
  <si>
    <t>P6</t>
  </si>
  <si>
    <t>Readability and Formating</t>
  </si>
  <si>
    <t>All elements on the poster are clearly readable, in particular visualizations. Poster is well-formatted.</t>
  </si>
  <si>
    <t>P7</t>
  </si>
  <si>
    <t>Q&amp;A and Discussion</t>
  </si>
  <si>
    <t>Questions by peers and lecturers can be answered correctly and comprehensively. If necessary, questions are answered during the pitch, i.e., there is flexibility in how it is presented without losing focus.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</si>
</sst>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color theme="1"/>
      <name val="Aptos Narrow"/>
      <family val="2"/>
      <scheme val="minor"/>
    </font>
    <font>
      <b/>
      <sz val="11"/>
      <color theme="1"/>
      <name val="Aptos Narrow"/>
      <family val="2"/>
      <scheme val="minor"/>
    </font>
    <font>
      <b/>
      <sz val="11"/>
      <color rgb="FF000000"/>
      <name val="Aptos Narrow"/>
      <charset val="1"/>
    </font>
    <font>
      <sz val="11"/>
      <color rgb="FFFF0000"/>
      <name val="Aptos Narrow"/>
      <family val="2"/>
      <scheme val="minor"/>
    </font>
    <font>
      <sz val="11"/>
      <color rgb="FFFF0000"/>
      <name val="Aptos Narrow"/>
      <scheme val="minor"/>
    </font>
    <font>
      <b/>
      <sz val="11"/>
      <color rgb="FF000000"/>
      <name val="Aptos Narrow"/>
      <scheme val="minor"/>
    </font>
    <font>
      <sz val="11"/>
      <color rgb="FF000000"/>
      <name val="Aptos Narrow"/>
      <charset val="1"/>
    </font>
    <font>
      <sz val="11"/>
      <color rgb="FF000000"/>
      <name val="Aptos Narrow"/>
      <scheme val="minor"/>
    </font>
    <font>
      <sz val="11"/>
      <color theme="1"/>
      <name val="Aptos Narrow"/>
      <scheme val="minor"/>
    </font>
    <font>
      <b/>
      <sz val="11"/>
      <color rgb="FF000000"/>
      <name val="Aptos Narrow"/>
      <family val="2"/>
      <scheme val="minor"/>
    </font>
    <font>
      <sz val="11"/>
      <color rgb="FF000000"/>
      <name val="Aptos Narrow"/>
      <family val="2"/>
      <scheme val="minor"/>
    </font>
    <font>
      <b/>
      <sz val="11"/>
      <color rgb="FFFF0000"/>
      <name val="Aptos Narrow"/>
      <scheme val="minor"/>
    </font>
  </fonts>
  <fills count="2">
    <fill>
      <patternFill patternType="none"/>
    </fill>
    <fill>
      <patternFill patternType="gray125"/>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medium">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s>
  <cellStyleXfs count="1">
    <xf numFmtId="0" fontId="0" fillId="0" borderId="0"/>
  </cellStyleXfs>
  <cellXfs count="92">
    <xf numFmtId="0" fontId="0" fillId="0" borderId="0" xfId="0"/>
    <xf numFmtId="0" fontId="0" fillId="0" borderId="1" xfId="0" applyBorder="1" applyAlignment="1">
      <alignment horizontal="center" vertical="center" wrapText="1"/>
    </xf>
    <xf numFmtId="0" fontId="0" fillId="0" borderId="5" xfId="0" applyBorder="1" applyAlignment="1">
      <alignment horizontal="center" vertical="center" wrapText="1"/>
    </xf>
    <xf numFmtId="0" fontId="3" fillId="0" borderId="1" xfId="0" applyFont="1" applyBorder="1" applyAlignment="1">
      <alignment wrapText="1"/>
    </xf>
    <xf numFmtId="0" fontId="0" fillId="0" borderId="1" xfId="0" applyBorder="1" applyAlignment="1">
      <alignment vertical="center" wrapText="1"/>
    </xf>
    <xf numFmtId="0" fontId="0" fillId="0" borderId="0" xfId="0" applyAlignment="1">
      <alignment horizontal="center" vertical="center" wrapText="1"/>
    </xf>
    <xf numFmtId="0" fontId="3" fillId="0" borderId="0" xfId="0" applyFont="1" applyAlignment="1">
      <alignment wrapText="1"/>
    </xf>
    <xf numFmtId="0" fontId="0" fillId="0" borderId="2" xfId="0" applyBorder="1" applyAlignment="1">
      <alignment vertical="center" wrapText="1"/>
    </xf>
    <xf numFmtId="0" fontId="0" fillId="0" borderId="2" xfId="0" applyBorder="1" applyAlignment="1">
      <alignment horizontal="center" vertical="center" wrapText="1"/>
    </xf>
    <xf numFmtId="0" fontId="0" fillId="0" borderId="6" xfId="0" applyBorder="1" applyAlignment="1">
      <alignment vertical="center" wrapText="1"/>
    </xf>
    <xf numFmtId="0" fontId="3" fillId="0" borderId="6" xfId="0" applyFont="1" applyBorder="1" applyAlignment="1">
      <alignment wrapText="1"/>
    </xf>
    <xf numFmtId="0" fontId="0" fillId="0" borderId="16" xfId="0" applyBorder="1" applyAlignment="1">
      <alignment horizontal="center" vertical="center" wrapText="1"/>
    </xf>
    <xf numFmtId="0" fontId="0" fillId="0" borderId="3" xfId="0" applyBorder="1" applyAlignment="1">
      <alignment wrapText="1"/>
    </xf>
    <xf numFmtId="0" fontId="1" fillId="0" borderId="8" xfId="0" applyFont="1" applyBorder="1" applyAlignment="1">
      <alignment horizontal="center" vertical="center" wrapText="1"/>
    </xf>
    <xf numFmtId="0" fontId="2" fillId="0" borderId="8" xfId="0" applyFont="1" applyBorder="1" applyAlignment="1">
      <alignment horizontal="center" vertical="center" wrapText="1"/>
    </xf>
    <xf numFmtId="0" fontId="1" fillId="0" borderId="9" xfId="0" applyFont="1" applyBorder="1" applyAlignment="1">
      <alignment horizontal="center" vertical="center" wrapText="1"/>
    </xf>
    <xf numFmtId="0" fontId="0" fillId="0" borderId="0" xfId="0" applyAlignment="1">
      <alignment wrapText="1"/>
    </xf>
    <xf numFmtId="0" fontId="1" fillId="0" borderId="16" xfId="0" applyFont="1" applyBorder="1" applyAlignment="1">
      <alignment horizontal="center" vertical="center" wrapText="1"/>
    </xf>
    <xf numFmtId="0" fontId="1" fillId="0" borderId="17" xfId="0" applyFont="1" applyBorder="1" applyAlignment="1">
      <alignment vertical="center" wrapText="1"/>
    </xf>
    <xf numFmtId="0" fontId="0" fillId="0" borderId="10" xfId="0" applyBorder="1" applyAlignment="1">
      <alignment horizontal="center" vertical="center" wrapText="1"/>
    </xf>
    <xf numFmtId="0" fontId="0" fillId="0" borderId="2" xfId="0" applyBorder="1" applyAlignment="1">
      <alignment wrapText="1"/>
    </xf>
    <xf numFmtId="0" fontId="0" fillId="0" borderId="4" xfId="0" applyBorder="1" applyAlignment="1">
      <alignment wrapText="1"/>
    </xf>
    <xf numFmtId="0" fontId="0" fillId="0" borderId="11" xfId="0" applyBorder="1" applyAlignment="1">
      <alignment horizontal="center" vertical="center" wrapText="1"/>
    </xf>
    <xf numFmtId="0" fontId="0" fillId="0" borderId="1" xfId="0" applyBorder="1" applyAlignment="1">
      <alignment wrapText="1"/>
    </xf>
    <xf numFmtId="0" fontId="0" fillId="0" borderId="5" xfId="0" applyBorder="1" applyAlignment="1">
      <alignment wrapText="1"/>
    </xf>
    <xf numFmtId="0" fontId="0" fillId="0" borderId="12" xfId="0" applyBorder="1" applyAlignment="1">
      <alignment horizontal="center" vertical="center" wrapText="1"/>
    </xf>
    <xf numFmtId="0" fontId="0" fillId="0" borderId="6" xfId="0" applyBorder="1" applyAlignment="1">
      <alignment wrapText="1"/>
    </xf>
    <xf numFmtId="0" fontId="0" fillId="0" borderId="6" xfId="0" applyBorder="1" applyAlignment="1">
      <alignment horizontal="center" vertical="center" wrapText="1"/>
    </xf>
    <xf numFmtId="0" fontId="0" fillId="0" borderId="18" xfId="0" applyBorder="1" applyAlignment="1">
      <alignment horizontal="center" vertical="center" wrapText="1"/>
    </xf>
    <xf numFmtId="0" fontId="0" fillId="0" borderId="7" xfId="0" applyBorder="1" applyAlignment="1">
      <alignment wrapText="1"/>
    </xf>
    <xf numFmtId="0" fontId="2" fillId="0" borderId="16" xfId="0" applyFont="1" applyBorder="1" applyAlignment="1">
      <alignment horizontal="center" vertical="center" wrapText="1"/>
    </xf>
    <xf numFmtId="0" fontId="0" fillId="0" borderId="21" xfId="0" applyBorder="1" applyAlignment="1">
      <alignment horizontal="center" vertical="center" wrapText="1"/>
    </xf>
    <xf numFmtId="0" fontId="1" fillId="0" borderId="21" xfId="0" applyFont="1" applyBorder="1" applyAlignment="1">
      <alignment horizontal="left" vertical="center" wrapText="1"/>
    </xf>
    <xf numFmtId="0" fontId="1" fillId="0" borderId="21" xfId="0" applyFont="1" applyBorder="1" applyAlignment="1">
      <alignment horizontal="center" vertical="center" wrapText="1"/>
    </xf>
    <xf numFmtId="0" fontId="1" fillId="0" borderId="24" xfId="0" applyFont="1" applyBorder="1" applyAlignment="1">
      <alignment vertical="center" wrapText="1"/>
    </xf>
    <xf numFmtId="0" fontId="0" fillId="0" borderId="23" xfId="0" applyBorder="1" applyAlignment="1">
      <alignment horizontal="center" vertical="center" wrapText="1"/>
    </xf>
    <xf numFmtId="0" fontId="0" fillId="0" borderId="21" xfId="0" applyBorder="1" applyAlignment="1">
      <alignment horizontal="left" vertical="center" wrapText="1"/>
    </xf>
    <xf numFmtId="0" fontId="6" fillId="0" borderId="21" xfId="0" applyFont="1" applyBorder="1" applyAlignment="1">
      <alignment horizontal="center" vertical="center" wrapText="1"/>
    </xf>
    <xf numFmtId="0" fontId="3" fillId="0" borderId="2" xfId="0" applyFont="1" applyBorder="1" applyAlignment="1">
      <alignment wrapText="1"/>
    </xf>
    <xf numFmtId="0" fontId="3" fillId="0" borderId="0" xfId="0" applyFont="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0" fillId="0" borderId="0" xfId="0" applyAlignment="1">
      <alignment vertical="center" wrapText="1"/>
    </xf>
    <xf numFmtId="0" fontId="4" fillId="0" borderId="0" xfId="0" applyFont="1" applyAlignment="1">
      <alignment wrapText="1"/>
    </xf>
    <xf numFmtId="0" fontId="0" fillId="0" borderId="0" xfId="0" applyAlignment="1">
      <alignment horizontal="left" vertical="center" wrapText="1"/>
    </xf>
    <xf numFmtId="0" fontId="6" fillId="0" borderId="0" xfId="0" applyFont="1" applyAlignment="1">
      <alignment horizontal="center" vertical="center" wrapText="1"/>
    </xf>
    <xf numFmtId="164" fontId="2" fillId="0" borderId="0" xfId="0" applyNumberFormat="1" applyFont="1" applyAlignment="1">
      <alignment horizontal="center" vertical="center" wrapText="1"/>
    </xf>
    <xf numFmtId="2" fontId="1" fillId="0" borderId="0" xfId="0" applyNumberFormat="1" applyFont="1" applyAlignment="1">
      <alignment horizontal="center" vertical="center" wrapText="1"/>
    </xf>
    <xf numFmtId="0" fontId="2" fillId="0" borderId="0" xfId="0" applyFont="1" applyAlignment="1">
      <alignment vertical="center" wrapText="1"/>
    </xf>
    <xf numFmtId="0" fontId="5" fillId="0" borderId="0" xfId="0" applyFont="1" applyAlignment="1">
      <alignment vertical="center" wrapText="1"/>
    </xf>
    <xf numFmtId="0" fontId="8" fillId="0" borderId="0" xfId="0" applyFont="1" applyAlignment="1">
      <alignment vertical="center" wrapText="1"/>
    </xf>
    <xf numFmtId="0" fontId="6" fillId="0" borderId="0" xfId="0" applyFont="1" applyAlignment="1">
      <alignment vertical="center" wrapText="1"/>
    </xf>
    <xf numFmtId="0" fontId="2" fillId="0" borderId="0" xfId="0" applyFont="1" applyAlignment="1">
      <alignment wrapText="1"/>
    </xf>
    <xf numFmtId="0" fontId="7" fillId="0" borderId="0" xfId="0" applyFont="1" applyAlignment="1">
      <alignment vertical="center" wrapText="1"/>
    </xf>
    <xf numFmtId="164" fontId="2" fillId="0" borderId="0" xfId="0" applyNumberFormat="1" applyFont="1" applyAlignment="1">
      <alignment vertical="center" wrapText="1"/>
    </xf>
    <xf numFmtId="2" fontId="1" fillId="0" borderId="0" xfId="0" applyNumberFormat="1" applyFont="1" applyAlignment="1">
      <alignment vertical="center" wrapText="1"/>
    </xf>
    <xf numFmtId="0" fontId="4" fillId="0" borderId="0" xfId="0" applyFont="1" applyAlignment="1">
      <alignment vertical="center" wrapText="1"/>
    </xf>
    <xf numFmtId="0" fontId="0" fillId="0" borderId="0" xfId="0" applyAlignment="1">
      <alignment horizontal="center"/>
    </xf>
    <xf numFmtId="0" fontId="7" fillId="0" borderId="25" xfId="0" applyFont="1" applyBorder="1" applyAlignment="1">
      <alignment vertical="center" wrapText="1"/>
    </xf>
    <xf numFmtId="0" fontId="0" fillId="0" borderId="5" xfId="0" applyBorder="1" applyAlignment="1">
      <alignment vertical="center" wrapText="1"/>
    </xf>
    <xf numFmtId="0" fontId="7" fillId="0" borderId="22" xfId="0" applyFont="1" applyBorder="1" applyAlignment="1">
      <alignment vertical="center" wrapText="1"/>
    </xf>
    <xf numFmtId="0" fontId="7" fillId="0" borderId="5" xfId="0" applyFont="1" applyBorder="1" applyAlignment="1">
      <alignment vertical="center" wrapText="1"/>
    </xf>
    <xf numFmtId="0" fontId="10" fillId="0" borderId="0" xfId="0" applyFont="1" applyAlignment="1">
      <alignment horizontal="center" vertical="center" wrapText="1"/>
    </xf>
    <xf numFmtId="0" fontId="0" fillId="0" borderId="20" xfId="0" applyBorder="1" applyAlignment="1">
      <alignment horizontal="center" vertical="center" wrapText="1"/>
    </xf>
    <xf numFmtId="0" fontId="0" fillId="0" borderId="18" xfId="0" applyBorder="1" applyAlignment="1">
      <alignment horizontal="left" vertical="center" wrapText="1"/>
    </xf>
    <xf numFmtId="0" fontId="6" fillId="0" borderId="18" xfId="0" applyFont="1" applyBorder="1" applyAlignment="1">
      <alignment horizontal="center" vertical="center" wrapText="1"/>
    </xf>
    <xf numFmtId="0" fontId="0" fillId="0" borderId="19" xfId="0" applyBorder="1" applyAlignment="1">
      <alignment vertical="center" wrapText="1"/>
    </xf>
    <xf numFmtId="0" fontId="8" fillId="0" borderId="5" xfId="0" applyFont="1" applyBorder="1" applyAlignment="1">
      <alignment vertical="center" wrapText="1"/>
    </xf>
    <xf numFmtId="0" fontId="1" fillId="0" borderId="25" xfId="0" applyFont="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horizontal="center" vertical="center"/>
    </xf>
    <xf numFmtId="0" fontId="8" fillId="0" borderId="7" xfId="0" applyFont="1" applyBorder="1" applyAlignment="1">
      <alignment vertical="center" wrapText="1"/>
    </xf>
    <xf numFmtId="9" fontId="0" fillId="0" borderId="1" xfId="0" applyNumberFormat="1" applyBorder="1" applyAlignment="1">
      <alignment horizontal="left" vertical="center" wrapText="1"/>
    </xf>
    <xf numFmtId="0" fontId="0" fillId="0" borderId="6" xfId="0" applyBorder="1" applyAlignment="1">
      <alignment horizontal="left" vertical="center" wrapText="1"/>
    </xf>
    <xf numFmtId="0" fontId="11" fillId="0" borderId="29" xfId="0" applyFont="1"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 fillId="0" borderId="0" xfId="0" applyFont="1" applyAlignment="1">
      <alignment horizontal="center" vertical="center" wrapText="1"/>
    </xf>
    <xf numFmtId="0" fontId="9" fillId="0" borderId="0" xfId="0" applyFont="1" applyAlignment="1">
      <alignment horizontal="left" vertical="center" wrapText="1"/>
    </xf>
    <xf numFmtId="0" fontId="2" fillId="0" borderId="0" xfId="0" applyFont="1" applyAlignment="1">
      <alignment horizontal="left" vertical="center" wrapText="1"/>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27" xfId="0" applyFont="1" applyBorder="1" applyAlignment="1">
      <alignment horizontal="center" vertical="center" wrapText="1"/>
    </xf>
    <xf numFmtId="0" fontId="1" fillId="0" borderId="15" xfId="0" applyFont="1" applyBorder="1" applyAlignment="1">
      <alignment horizontal="left" vertical="center" wrapText="1"/>
    </xf>
    <xf numFmtId="0" fontId="1" fillId="0" borderId="16" xfId="0" applyFont="1" applyBorder="1" applyAlignment="1">
      <alignment horizontal="left" vertical="center" wrapText="1"/>
    </xf>
    <xf numFmtId="0" fontId="9" fillId="0" borderId="0" xfId="0" applyFont="1" applyAlignment="1">
      <alignment horizontal="center" vertical="center" wrapText="1"/>
    </xf>
    <xf numFmtId="0" fontId="1" fillId="0" borderId="0" xfId="0" applyFont="1" applyAlignment="1">
      <alignment horizontal="left" vertical="center" wrapText="1"/>
    </xf>
    <xf numFmtId="0" fontId="2" fillId="0" borderId="0" xfId="0" applyFont="1" applyAlignment="1">
      <alignment horizontal="left" wrapText="1"/>
    </xf>
    <xf numFmtId="0" fontId="9" fillId="0" borderId="28" xfId="0" applyFont="1" applyBorder="1" applyAlignment="1">
      <alignment horizontal="center" vertical="center" wrapText="1"/>
    </xf>
    <xf numFmtId="0" fontId="1" fillId="0" borderId="26" xfId="0" applyFont="1" applyBorder="1" applyAlignment="1">
      <alignment horizontal="left" vertical="center" wrapText="1"/>
    </xf>
  </cellXfs>
  <cellStyles count="1">
    <cellStyle name="Standard"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workbookViewId="0">
      <selection activeCell="E7" sqref="E7"/>
    </sheetView>
  </sheetViews>
  <sheetFormatPr defaultColWidth="9.140625" defaultRowHeight="15"/>
  <cols>
    <col min="1" max="1" width="25.28515625" style="16" customWidth="1"/>
    <col min="2" max="2" width="16.5703125" style="16" customWidth="1"/>
    <col min="3" max="3" width="88.7109375" style="16" customWidth="1"/>
    <col min="4" max="4" width="19.140625" style="16" customWidth="1"/>
    <col min="5" max="5" width="31.5703125" style="16" customWidth="1"/>
    <col min="6" max="6" width="16.140625" style="16" customWidth="1"/>
    <col min="7" max="7" width="87" style="16" customWidth="1"/>
    <col min="8" max="8" width="11.5703125" style="16" customWidth="1"/>
    <col min="9" max="9" width="9.140625" style="16"/>
    <col min="10" max="10" width="15.85546875" style="16" customWidth="1"/>
    <col min="11" max="11" width="40.140625" style="16" customWidth="1"/>
    <col min="12" max="16384" width="9.140625" style="16"/>
  </cols>
  <sheetData>
    <row r="1" spans="1:11" ht="47.25" customHeight="1">
      <c r="A1" s="76" t="s">
        <v>0</v>
      </c>
      <c r="B1" s="77"/>
      <c r="C1" s="78"/>
      <c r="D1"/>
      <c r="E1"/>
      <c r="F1" s="43"/>
      <c r="G1" s="43"/>
      <c r="H1" s="50"/>
      <c r="I1" s="43"/>
      <c r="J1" s="43"/>
      <c r="K1" s="43"/>
    </row>
    <row r="2" spans="1:11" ht="25.5" customHeight="1">
      <c r="A2" s="70" t="s">
        <v>1</v>
      </c>
      <c r="B2" s="71" t="s">
        <v>2</v>
      </c>
      <c r="C2" s="72" t="s">
        <v>3</v>
      </c>
      <c r="D2" s="59"/>
      <c r="E2" s="59"/>
      <c r="F2" s="43"/>
      <c r="G2" s="43"/>
      <c r="H2" s="50"/>
      <c r="I2" s="43"/>
      <c r="J2" s="43"/>
      <c r="K2" s="43"/>
    </row>
    <row r="3" spans="1:11" ht="42" customHeight="1">
      <c r="A3" s="60" t="s">
        <v>4</v>
      </c>
      <c r="B3" s="74">
        <v>0.35</v>
      </c>
      <c r="C3" s="63" t="s">
        <v>5</v>
      </c>
      <c r="D3" s="43"/>
      <c r="E3" s="43"/>
      <c r="F3" s="43"/>
      <c r="G3" s="43"/>
      <c r="H3" s="43"/>
      <c r="I3" s="44"/>
      <c r="J3" s="43"/>
      <c r="K3" s="43"/>
    </row>
    <row r="4" spans="1:11" ht="60.75" customHeight="1">
      <c r="A4" s="60" t="s">
        <v>6</v>
      </c>
      <c r="B4" s="74">
        <v>0.25</v>
      </c>
      <c r="C4" s="69" t="s">
        <v>7</v>
      </c>
      <c r="D4" s="45"/>
      <c r="G4" s="44"/>
      <c r="H4" s="44"/>
      <c r="I4" s="44"/>
      <c r="J4" s="44"/>
    </row>
    <row r="5" spans="1:11" ht="89.25" customHeight="1">
      <c r="A5" s="60" t="s">
        <v>8</v>
      </c>
      <c r="B5" s="74">
        <v>0.3</v>
      </c>
      <c r="C5" s="61" t="s">
        <v>9</v>
      </c>
      <c r="G5" s="44"/>
      <c r="H5" s="44"/>
      <c r="I5" s="44"/>
      <c r="J5" s="44"/>
    </row>
    <row r="6" spans="1:11" ht="98.25" customHeight="1">
      <c r="A6" s="60" t="s">
        <v>10</v>
      </c>
      <c r="B6" s="74">
        <v>0.1</v>
      </c>
      <c r="C6" s="63" t="s">
        <v>11</v>
      </c>
      <c r="G6" s="44"/>
      <c r="H6" s="44"/>
      <c r="I6" s="44"/>
      <c r="J6" s="44"/>
    </row>
    <row r="7" spans="1:11" ht="139.5" customHeight="1">
      <c r="A7" s="62" t="s">
        <v>12</v>
      </c>
      <c r="B7" s="75"/>
      <c r="C7" s="73" t="s">
        <v>13</v>
      </c>
      <c r="G7" s="52"/>
      <c r="H7" s="44"/>
      <c r="I7" s="44"/>
      <c r="J7" s="44"/>
    </row>
    <row r="8" spans="1:11" ht="87" customHeight="1">
      <c r="A8" s="51"/>
      <c r="B8" s="44"/>
      <c r="C8" s="44"/>
      <c r="D8" s="6"/>
      <c r="G8" s="44"/>
      <c r="H8" s="44"/>
      <c r="I8" s="44"/>
      <c r="J8" s="44"/>
    </row>
    <row r="9" spans="1:11" ht="88.5" customHeight="1">
      <c r="A9" s="51"/>
      <c r="B9" s="44"/>
      <c r="C9" s="44"/>
      <c r="D9" s="6"/>
      <c r="G9" s="44"/>
      <c r="H9" s="44"/>
      <c r="I9" s="44"/>
      <c r="J9" s="44"/>
    </row>
    <row r="10" spans="1:11" ht="17.25" customHeight="1">
      <c r="A10" s="51"/>
      <c r="B10" s="43"/>
      <c r="C10" s="43"/>
      <c r="D10" s="43"/>
      <c r="E10" s="43"/>
      <c r="F10" s="43"/>
      <c r="G10" s="43"/>
      <c r="H10" s="50"/>
      <c r="I10" s="43"/>
      <c r="J10" s="43"/>
      <c r="K10" s="43"/>
    </row>
    <row r="11" spans="1:11" ht="54.75" customHeight="1">
      <c r="A11" s="51"/>
      <c r="B11" s="44"/>
      <c r="C11" s="44"/>
      <c r="D11" s="43"/>
      <c r="E11" s="43"/>
      <c r="F11" s="43"/>
      <c r="G11" s="44"/>
      <c r="H11" s="53"/>
      <c r="I11" s="43"/>
      <c r="J11" s="44"/>
      <c r="K11" s="43"/>
    </row>
    <row r="12" spans="1:11" ht="59.25" customHeight="1">
      <c r="A12" s="51"/>
      <c r="B12" s="44"/>
      <c r="C12" s="44"/>
      <c r="D12" s="44"/>
      <c r="E12" s="44"/>
      <c r="F12" s="44"/>
      <c r="G12" s="44"/>
      <c r="H12" s="44"/>
      <c r="I12" s="44"/>
      <c r="J12" s="44"/>
      <c r="K12" s="44"/>
    </row>
    <row r="13" spans="1:11" ht="50.25" customHeight="1">
      <c r="A13" s="51"/>
      <c r="B13" s="44"/>
      <c r="C13" s="44"/>
      <c r="D13" s="44"/>
      <c r="E13" s="44"/>
      <c r="F13" s="44"/>
      <c r="G13" s="44"/>
      <c r="H13" s="44"/>
      <c r="I13" s="44"/>
      <c r="J13" s="44"/>
      <c r="K13" s="44"/>
    </row>
    <row r="14" spans="1:11">
      <c r="A14" s="51"/>
      <c r="B14" s="44"/>
      <c r="C14" s="44"/>
      <c r="D14" s="44"/>
      <c r="E14" s="44"/>
      <c r="F14" s="44"/>
      <c r="G14" s="44"/>
      <c r="H14" s="44"/>
      <c r="I14" s="44"/>
      <c r="J14" s="44"/>
      <c r="K14" s="44"/>
    </row>
    <row r="15" spans="1:11" ht="37.5" customHeight="1">
      <c r="A15" s="51"/>
      <c r="B15" s="44"/>
      <c r="C15" s="44"/>
      <c r="G15" s="44"/>
      <c r="H15" s="44"/>
      <c r="J15" s="44"/>
    </row>
    <row r="16" spans="1:11" ht="37.5" customHeight="1">
      <c r="A16" s="51"/>
      <c r="B16" s="44"/>
      <c r="C16" s="44"/>
      <c r="G16" s="44"/>
      <c r="H16" s="44"/>
      <c r="J16" s="44"/>
    </row>
    <row r="17" spans="1:11" ht="51.75" customHeight="1">
      <c r="A17" s="51"/>
      <c r="B17" s="44"/>
      <c r="C17" s="44"/>
      <c r="D17" s="44"/>
      <c r="E17" s="44"/>
      <c r="F17" s="44"/>
      <c r="G17" s="44"/>
      <c r="H17" s="53"/>
      <c r="I17" s="44"/>
      <c r="J17" s="44"/>
      <c r="K17" s="44"/>
    </row>
    <row r="18" spans="1:11">
      <c r="A18" s="50"/>
      <c r="B18" s="54"/>
      <c r="C18" s="54"/>
      <c r="D18" s="54"/>
      <c r="E18" s="54"/>
      <c r="F18" s="54"/>
      <c r="G18" s="54"/>
      <c r="H18" s="50"/>
      <c r="J18" s="43"/>
    </row>
    <row r="19" spans="1:11" ht="81.75" customHeight="1">
      <c r="A19" s="50"/>
      <c r="B19" s="44"/>
      <c r="C19" s="44"/>
      <c r="G19" s="44"/>
      <c r="H19" s="44"/>
      <c r="J19" s="44"/>
    </row>
    <row r="20" spans="1:11" ht="66.75" customHeight="1">
      <c r="A20" s="50"/>
      <c r="B20" s="44"/>
      <c r="C20" s="44"/>
      <c r="G20" s="44"/>
      <c r="H20" s="44"/>
      <c r="J20" s="44"/>
    </row>
    <row r="21" spans="1:11" ht="78" customHeight="1">
      <c r="A21" s="50"/>
      <c r="B21" s="44"/>
      <c r="C21" s="44"/>
      <c r="G21" s="44"/>
      <c r="H21" s="44"/>
      <c r="J21" s="44"/>
    </row>
    <row r="22" spans="1:11" ht="78" customHeight="1">
      <c r="A22" s="50"/>
      <c r="B22" s="44"/>
      <c r="C22" s="44"/>
      <c r="G22" s="44"/>
      <c r="H22" s="44"/>
      <c r="J22" s="44"/>
    </row>
    <row r="23" spans="1:11" ht="15" customHeight="1">
      <c r="A23" s="50"/>
      <c r="B23" s="51"/>
      <c r="C23" s="51"/>
      <c r="D23" s="51"/>
      <c r="E23" s="51"/>
      <c r="F23" s="51"/>
      <c r="G23" s="51"/>
      <c r="H23" s="43"/>
      <c r="J23" s="43"/>
    </row>
    <row r="24" spans="1:11" ht="42" customHeight="1">
      <c r="A24" s="50"/>
      <c r="B24" s="44"/>
      <c r="C24" s="44"/>
      <c r="G24" s="44"/>
      <c r="H24" s="44"/>
      <c r="J24" s="44"/>
    </row>
    <row r="25" spans="1:11" ht="62.25" customHeight="1">
      <c r="A25" s="50"/>
      <c r="B25" s="44"/>
      <c r="C25" s="44"/>
      <c r="G25" s="44"/>
      <c r="H25" s="44"/>
      <c r="J25" s="44"/>
    </row>
    <row r="26" spans="1:11" ht="63.75" customHeight="1">
      <c r="A26" s="50"/>
      <c r="B26" s="44"/>
      <c r="C26" s="44"/>
      <c r="G26" s="55"/>
      <c r="H26" s="44"/>
      <c r="J26" s="44"/>
    </row>
    <row r="27" spans="1:11">
      <c r="A27" s="50"/>
      <c r="B27" s="50"/>
      <c r="C27" s="50"/>
      <c r="D27" s="50"/>
      <c r="E27" s="50"/>
      <c r="F27" s="50"/>
      <c r="G27" s="50"/>
      <c r="H27" s="50"/>
      <c r="I27" s="56"/>
      <c r="J27" s="57"/>
    </row>
    <row r="33" spans="2:6">
      <c r="C33" s="44"/>
      <c r="D33" s="6"/>
    </row>
    <row r="43" spans="2:6">
      <c r="B43" s="58"/>
      <c r="C43" s="44"/>
      <c r="D43" s="44"/>
      <c r="E43" s="44"/>
      <c r="F43" s="44"/>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258C9-0948-4496-8466-51C46F799458}">
  <dimension ref="A1:K42"/>
  <sheetViews>
    <sheetView workbookViewId="0">
      <selection activeCell="G5" sqref="G5"/>
    </sheetView>
  </sheetViews>
  <sheetFormatPr defaultColWidth="9.140625" defaultRowHeight="15"/>
  <cols>
    <col min="1" max="1" width="25.28515625" style="16" customWidth="1"/>
    <col min="2" max="2" width="9.140625" style="16" bestFit="1" customWidth="1"/>
    <col min="3" max="3" width="20.7109375" style="16" customWidth="1"/>
    <col min="4" max="4" width="19.140625" style="16" customWidth="1"/>
    <col min="5" max="5" width="17" style="16" customWidth="1"/>
    <col min="6" max="6" width="16.140625" style="16" customWidth="1"/>
    <col min="7" max="7" width="87" style="16" customWidth="1"/>
    <col min="8" max="8" width="11.5703125" style="16" customWidth="1"/>
    <col min="9" max="9" width="9.140625" style="16" bestFit="1" customWidth="1"/>
    <col min="10" max="10" width="15.85546875" style="16" customWidth="1"/>
    <col min="11" max="11" width="40.140625" style="16" customWidth="1"/>
    <col min="12" max="16384" width="9.140625" style="16"/>
  </cols>
  <sheetData>
    <row r="1" spans="1:11">
      <c r="A1" s="12"/>
      <c r="B1" s="13" t="s">
        <v>14</v>
      </c>
      <c r="C1" s="13" t="s">
        <v>15</v>
      </c>
      <c r="D1" s="13" t="s">
        <v>16</v>
      </c>
      <c r="E1" s="13" t="s">
        <v>17</v>
      </c>
      <c r="F1" s="13" t="s">
        <v>18</v>
      </c>
      <c r="G1" s="13" t="s">
        <v>19</v>
      </c>
      <c r="H1" s="14" t="s">
        <v>20</v>
      </c>
      <c r="I1" s="13" t="s">
        <v>21</v>
      </c>
      <c r="J1" s="13" t="s">
        <v>22</v>
      </c>
      <c r="K1" s="15" t="s">
        <v>23</v>
      </c>
    </row>
    <row r="2" spans="1:11">
      <c r="A2" s="82" t="s">
        <v>4</v>
      </c>
      <c r="B2" s="85" t="s">
        <v>24</v>
      </c>
      <c r="C2" s="86"/>
      <c r="D2" s="86"/>
      <c r="E2" s="86"/>
      <c r="F2" s="86"/>
      <c r="G2" s="86"/>
      <c r="H2" s="17">
        <f>SUM(H3:H8)</f>
        <v>35</v>
      </c>
      <c r="I2" s="11"/>
      <c r="J2" s="17">
        <f>SUM(J3:J8)</f>
        <v>0</v>
      </c>
      <c r="K2" s="18"/>
    </row>
    <row r="3" spans="1:11" ht="77.25" customHeight="1">
      <c r="A3" s="83"/>
      <c r="B3" s="19" t="s">
        <v>25</v>
      </c>
      <c r="C3" s="7" t="s">
        <v>26</v>
      </c>
      <c r="D3" s="38"/>
      <c r="E3" s="20"/>
      <c r="F3" s="20"/>
      <c r="G3" s="8" t="s">
        <v>27</v>
      </c>
      <c r="H3" s="8">
        <v>4</v>
      </c>
      <c r="I3" s="8"/>
      <c r="J3" s="8">
        <f>H3*I3/10</f>
        <v>0</v>
      </c>
      <c r="K3" s="21"/>
    </row>
    <row r="4" spans="1:11" ht="81.75" customHeight="1">
      <c r="A4" s="83"/>
      <c r="B4" s="22" t="s">
        <v>28</v>
      </c>
      <c r="C4" s="4" t="s">
        <v>29</v>
      </c>
      <c r="D4" s="23"/>
      <c r="E4" s="23"/>
      <c r="F4" s="23"/>
      <c r="G4" s="1" t="s">
        <v>30</v>
      </c>
      <c r="H4" s="1">
        <v>10</v>
      </c>
      <c r="I4" s="1"/>
      <c r="J4" s="8">
        <f>H4*I4/10</f>
        <v>0</v>
      </c>
      <c r="K4" s="24"/>
    </row>
    <row r="5" spans="1:11" ht="69" customHeight="1">
      <c r="A5" s="83"/>
      <c r="B5" s="22" t="s">
        <v>31</v>
      </c>
      <c r="C5" s="4" t="s">
        <v>8</v>
      </c>
      <c r="D5" s="23"/>
      <c r="E5" s="23"/>
      <c r="F5" s="23"/>
      <c r="G5" s="1" t="s">
        <v>32</v>
      </c>
      <c r="H5" s="1">
        <v>3</v>
      </c>
      <c r="I5" s="1"/>
      <c r="J5" s="8">
        <f>H5*I5/10</f>
        <v>0</v>
      </c>
      <c r="K5" s="24"/>
    </row>
    <row r="6" spans="1:11" ht="139.5" customHeight="1">
      <c r="A6" s="83"/>
      <c r="B6" s="22" t="s">
        <v>33</v>
      </c>
      <c r="C6" s="4" t="s">
        <v>34</v>
      </c>
      <c r="D6" s="23"/>
      <c r="E6" s="23"/>
      <c r="F6" s="23"/>
      <c r="G6" s="1" t="s">
        <v>35</v>
      </c>
      <c r="H6" s="1">
        <v>10</v>
      </c>
      <c r="I6" s="1"/>
      <c r="J6" s="8">
        <f>H6*I6/10</f>
        <v>0</v>
      </c>
      <c r="K6" s="24"/>
    </row>
    <row r="7" spans="1:11" ht="87" customHeight="1">
      <c r="A7" s="83"/>
      <c r="B7" s="22" t="s">
        <v>36</v>
      </c>
      <c r="C7" s="4" t="s">
        <v>37</v>
      </c>
      <c r="D7" s="3"/>
      <c r="E7" s="23"/>
      <c r="F7" s="23"/>
      <c r="G7" s="1" t="s">
        <v>38</v>
      </c>
      <c r="H7" s="1">
        <v>4</v>
      </c>
      <c r="I7" s="1"/>
      <c r="J7" s="8">
        <f>H7*I7/10</f>
        <v>0</v>
      </c>
      <c r="K7" s="24"/>
    </row>
    <row r="8" spans="1:11" ht="88.5" customHeight="1">
      <c r="A8" s="84"/>
      <c r="B8" s="25" t="s">
        <v>39</v>
      </c>
      <c r="C8" s="9" t="s">
        <v>40</v>
      </c>
      <c r="D8" s="10"/>
      <c r="E8" s="26"/>
      <c r="F8" s="26"/>
      <c r="G8" s="27" t="s">
        <v>41</v>
      </c>
      <c r="H8" s="27">
        <v>4</v>
      </c>
      <c r="I8" s="27"/>
      <c r="J8" s="28">
        <f>H8*I8/10</f>
        <v>0</v>
      </c>
      <c r="K8" s="29"/>
    </row>
    <row r="9" spans="1:11" ht="17.25" customHeight="1">
      <c r="A9" s="87"/>
      <c r="B9" s="88"/>
      <c r="C9" s="88"/>
      <c r="D9" s="88"/>
      <c r="E9" s="88"/>
      <c r="F9" s="88"/>
      <c r="G9" s="88"/>
      <c r="H9" s="41"/>
      <c r="I9" s="40"/>
      <c r="J9" s="40"/>
      <c r="K9" s="43"/>
    </row>
    <row r="10" spans="1:11" ht="54.75" customHeight="1">
      <c r="A10" s="87"/>
      <c r="B10" s="5"/>
      <c r="C10" s="46"/>
      <c r="D10" s="42"/>
      <c r="E10" s="42"/>
      <c r="F10" s="42"/>
      <c r="G10" s="5"/>
      <c r="H10" s="47"/>
      <c r="I10" s="40"/>
      <c r="J10" s="5"/>
      <c r="K10" s="43"/>
    </row>
    <row r="11" spans="1:11" ht="59.25" customHeight="1">
      <c r="A11" s="87"/>
      <c r="B11" s="5"/>
      <c r="C11" s="44"/>
      <c r="D11" s="5"/>
      <c r="E11" s="5"/>
      <c r="F11" s="5"/>
      <c r="G11" s="5"/>
      <c r="H11" s="5"/>
      <c r="I11" s="5"/>
      <c r="J11" s="5"/>
      <c r="K11" s="5"/>
    </row>
    <row r="12" spans="1:11" ht="50.25" customHeight="1">
      <c r="A12" s="87"/>
      <c r="B12" s="5"/>
      <c r="C12" s="44"/>
      <c r="D12" s="5"/>
      <c r="E12" s="5"/>
      <c r="F12" s="5"/>
      <c r="G12" s="5"/>
      <c r="H12" s="5"/>
      <c r="I12" s="5"/>
      <c r="J12" s="5"/>
      <c r="K12" s="5"/>
    </row>
    <row r="13" spans="1:11">
      <c r="A13" s="87"/>
      <c r="B13" s="5"/>
      <c r="C13" s="44"/>
      <c r="D13" s="5"/>
      <c r="E13" s="5"/>
      <c r="F13" s="5"/>
      <c r="G13" s="5"/>
      <c r="H13" s="5"/>
      <c r="I13" s="5"/>
      <c r="J13" s="5"/>
      <c r="K13" s="5"/>
    </row>
    <row r="14" spans="1:11" ht="37.5" customHeight="1">
      <c r="A14" s="87"/>
      <c r="B14" s="5"/>
      <c r="C14" s="44"/>
      <c r="G14" s="5"/>
      <c r="H14" s="5"/>
      <c r="J14" s="5"/>
    </row>
    <row r="15" spans="1:11" ht="37.5" customHeight="1">
      <c r="A15" s="87"/>
      <c r="B15" s="5"/>
      <c r="C15" s="44"/>
      <c r="G15" s="5"/>
      <c r="H15" s="5"/>
      <c r="J15" s="5"/>
    </row>
    <row r="16" spans="1:11" ht="51.75" customHeight="1">
      <c r="A16" s="87"/>
      <c r="B16" s="5"/>
      <c r="C16" s="46"/>
      <c r="D16" s="46"/>
      <c r="E16" s="46"/>
      <c r="F16" s="46"/>
      <c r="G16" s="5"/>
      <c r="H16" s="47"/>
      <c r="I16" s="5"/>
      <c r="J16" s="5"/>
      <c r="K16" s="44"/>
    </row>
    <row r="17" spans="1:10">
      <c r="A17" s="79"/>
      <c r="B17" s="89"/>
      <c r="C17" s="89"/>
      <c r="D17" s="89"/>
      <c r="E17" s="89"/>
      <c r="F17" s="89"/>
      <c r="G17" s="89"/>
      <c r="H17" s="41"/>
      <c r="J17" s="40"/>
    </row>
    <row r="18" spans="1:10" ht="81.75" customHeight="1">
      <c r="A18" s="79"/>
      <c r="B18" s="5"/>
      <c r="C18" s="46"/>
      <c r="G18" s="5"/>
      <c r="H18" s="5"/>
      <c r="J18" s="5"/>
    </row>
    <row r="19" spans="1:10" ht="66.75" customHeight="1">
      <c r="A19" s="79"/>
      <c r="B19" s="5"/>
      <c r="C19" s="46"/>
      <c r="G19" s="5"/>
      <c r="H19" s="5"/>
      <c r="J19" s="5"/>
    </row>
    <row r="20" spans="1:10" ht="78" customHeight="1">
      <c r="A20" s="79"/>
      <c r="B20" s="5"/>
      <c r="C20" s="46"/>
      <c r="G20" s="5"/>
      <c r="H20" s="5"/>
      <c r="J20" s="5"/>
    </row>
    <row r="21" spans="1:10" ht="78" customHeight="1">
      <c r="A21" s="79"/>
      <c r="B21" s="5"/>
      <c r="C21" s="46"/>
      <c r="G21" s="5"/>
      <c r="H21" s="5"/>
      <c r="J21" s="5"/>
    </row>
    <row r="22" spans="1:10" ht="15" customHeight="1">
      <c r="A22" s="79"/>
      <c r="B22" s="80"/>
      <c r="C22" s="80"/>
      <c r="D22" s="80"/>
      <c r="E22" s="80"/>
      <c r="F22" s="80"/>
      <c r="G22" s="80"/>
      <c r="H22" s="40"/>
      <c r="J22" s="40"/>
    </row>
    <row r="23" spans="1:10" ht="42" customHeight="1">
      <c r="A23" s="79"/>
      <c r="B23" s="5"/>
      <c r="C23" s="46"/>
      <c r="G23" s="5"/>
      <c r="H23" s="5"/>
      <c r="J23" s="5"/>
    </row>
    <row r="24" spans="1:10" ht="62.25" customHeight="1">
      <c r="A24" s="79"/>
      <c r="B24" s="5"/>
      <c r="C24" s="46"/>
      <c r="G24" s="5"/>
      <c r="H24" s="5"/>
      <c r="J24" s="5"/>
    </row>
    <row r="25" spans="1:10" ht="63.75" customHeight="1">
      <c r="A25" s="79"/>
      <c r="B25" s="5"/>
      <c r="C25" s="46"/>
      <c r="G25" s="64"/>
      <c r="H25" s="5"/>
      <c r="J25" s="5"/>
    </row>
    <row r="26" spans="1:10">
      <c r="A26" s="81"/>
      <c r="B26" s="81"/>
      <c r="C26" s="81"/>
      <c r="D26" s="81"/>
      <c r="E26" s="81"/>
      <c r="F26" s="81"/>
      <c r="G26" s="81"/>
      <c r="H26" s="41"/>
      <c r="I26" s="48"/>
      <c r="J26" s="49"/>
    </row>
    <row r="32" spans="1:10">
      <c r="C32" s="5"/>
      <c r="D32" s="6"/>
    </row>
    <row r="42" spans="2:6">
      <c r="B42" s="39"/>
      <c r="C42" s="5"/>
      <c r="D42" s="5"/>
      <c r="E42" s="5"/>
      <c r="F42" s="5"/>
    </row>
  </sheetData>
  <mergeCells count="9">
    <mergeCell ref="A22:A25"/>
    <mergeCell ref="B22:G22"/>
    <mergeCell ref="A26:G26"/>
    <mergeCell ref="A2:A8"/>
    <mergeCell ref="B2:G2"/>
    <mergeCell ref="A9:A16"/>
    <mergeCell ref="B9:G9"/>
    <mergeCell ref="A17:A21"/>
    <mergeCell ref="B17:G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956B1-3AEA-4BAE-B65B-9F865F12693F}">
  <dimension ref="A1:K25"/>
  <sheetViews>
    <sheetView workbookViewId="0">
      <selection activeCell="G3" sqref="G3"/>
    </sheetView>
  </sheetViews>
  <sheetFormatPr defaultColWidth="9.140625" defaultRowHeight="15"/>
  <cols>
    <col min="1" max="1" width="25.28515625" style="16" customWidth="1"/>
    <col min="2" max="2" width="9.140625" style="16" bestFit="1" customWidth="1"/>
    <col min="3" max="3" width="20.7109375" style="16" customWidth="1"/>
    <col min="4" max="4" width="19.140625" style="16" customWidth="1"/>
    <col min="5" max="5" width="17" style="16" customWidth="1"/>
    <col min="6" max="6" width="16.140625" style="16" customWidth="1"/>
    <col min="7" max="7" width="87" style="16" customWidth="1"/>
    <col min="8" max="8" width="11.5703125" style="16" customWidth="1"/>
    <col min="9" max="9" width="9.140625" style="16" bestFit="1" customWidth="1"/>
    <col min="10" max="10" width="15.85546875" style="16" customWidth="1"/>
    <col min="11" max="11" width="40.140625" style="16" customWidth="1"/>
    <col min="12" max="16384" width="9.140625" style="16"/>
  </cols>
  <sheetData>
    <row r="1" spans="1:11">
      <c r="A1" s="12"/>
      <c r="B1" s="13" t="s">
        <v>14</v>
      </c>
      <c r="C1" s="13" t="s">
        <v>15</v>
      </c>
      <c r="D1" s="13" t="s">
        <v>16</v>
      </c>
      <c r="E1" s="13" t="s">
        <v>17</v>
      </c>
      <c r="F1" s="13" t="s">
        <v>18</v>
      </c>
      <c r="G1" s="13" t="s">
        <v>19</v>
      </c>
      <c r="H1" s="14" t="s">
        <v>20</v>
      </c>
      <c r="I1" s="13" t="s">
        <v>21</v>
      </c>
      <c r="J1" s="13" t="s">
        <v>22</v>
      </c>
      <c r="K1" s="15" t="s">
        <v>23</v>
      </c>
    </row>
    <row r="2" spans="1:11" ht="17.25" customHeight="1">
      <c r="A2" s="90" t="s">
        <v>6</v>
      </c>
      <c r="B2" s="91" t="s">
        <v>24</v>
      </c>
      <c r="C2" s="86"/>
      <c r="D2" s="86"/>
      <c r="E2" s="86"/>
      <c r="F2" s="86"/>
      <c r="G2" s="86"/>
      <c r="H2" s="30">
        <f>SUM(H3:H9)</f>
        <v>25</v>
      </c>
      <c r="I2" s="17"/>
      <c r="J2" s="17">
        <f>SUM(J4:J8)</f>
        <v>0</v>
      </c>
      <c r="K2" s="18"/>
    </row>
    <row r="3" spans="1:11" ht="54.75" customHeight="1">
      <c r="A3" s="83"/>
      <c r="B3" s="35" t="s">
        <v>42</v>
      </c>
      <c r="C3" s="36" t="s">
        <v>43</v>
      </c>
      <c r="D3" s="32"/>
      <c r="E3" s="32"/>
      <c r="F3" s="32"/>
      <c r="G3" s="31" t="s">
        <v>44</v>
      </c>
      <c r="H3" s="37">
        <v>2</v>
      </c>
      <c r="I3" s="33"/>
      <c r="J3" s="8"/>
      <c r="K3" s="34"/>
    </row>
    <row r="4" spans="1:11" ht="59.25" customHeight="1">
      <c r="A4" s="83"/>
      <c r="B4" s="22" t="s">
        <v>45</v>
      </c>
      <c r="C4" s="4" t="s">
        <v>46</v>
      </c>
      <c r="D4" s="1"/>
      <c r="E4" s="1"/>
      <c r="F4" s="1"/>
      <c r="G4" s="1" t="s">
        <v>47</v>
      </c>
      <c r="H4" s="1">
        <v>4</v>
      </c>
      <c r="I4" s="1"/>
      <c r="J4" s="8">
        <f>H4*I4/10</f>
        <v>0</v>
      </c>
      <c r="K4" s="2"/>
    </row>
    <row r="5" spans="1:11" ht="50.25" customHeight="1">
      <c r="A5" s="83"/>
      <c r="B5" s="22" t="s">
        <v>48</v>
      </c>
      <c r="C5" s="4" t="s">
        <v>49</v>
      </c>
      <c r="D5" s="1"/>
      <c r="E5" s="1"/>
      <c r="F5" s="1"/>
      <c r="G5" s="1" t="s">
        <v>50</v>
      </c>
      <c r="H5" s="1">
        <v>4</v>
      </c>
      <c r="I5" s="1"/>
      <c r="J5" s="8">
        <f>H5*I5/10</f>
        <v>0</v>
      </c>
      <c r="K5" s="2"/>
    </row>
    <row r="6" spans="1:11" ht="29.25">
      <c r="A6" s="83"/>
      <c r="B6" s="22" t="s">
        <v>51</v>
      </c>
      <c r="C6" s="4" t="s">
        <v>52</v>
      </c>
      <c r="D6" s="1"/>
      <c r="E6" s="1"/>
      <c r="F6" s="1"/>
      <c r="G6" s="1" t="s">
        <v>53</v>
      </c>
      <c r="H6" s="1">
        <v>3</v>
      </c>
      <c r="I6" s="1"/>
      <c r="J6" s="8">
        <f>H6*I6/10</f>
        <v>0</v>
      </c>
      <c r="K6" s="2"/>
    </row>
    <row r="7" spans="1:11" ht="37.5" customHeight="1">
      <c r="A7" s="83"/>
      <c r="B7" s="22" t="s">
        <v>54</v>
      </c>
      <c r="C7" s="4" t="s">
        <v>55</v>
      </c>
      <c r="D7" s="23"/>
      <c r="E7" s="23"/>
      <c r="F7" s="23"/>
      <c r="G7" s="1" t="s">
        <v>56</v>
      </c>
      <c r="H7" s="1">
        <v>4</v>
      </c>
      <c r="I7" s="23"/>
      <c r="J7" s="8">
        <f>H7*I7/10</f>
        <v>0</v>
      </c>
      <c r="K7" s="24"/>
    </row>
    <row r="8" spans="1:11" ht="37.5" customHeight="1">
      <c r="A8" s="83"/>
      <c r="B8" s="22" t="s">
        <v>57</v>
      </c>
      <c r="C8" s="4" t="s">
        <v>58</v>
      </c>
      <c r="D8" s="23"/>
      <c r="E8" s="23"/>
      <c r="F8" s="23"/>
      <c r="G8" s="1" t="s">
        <v>59</v>
      </c>
      <c r="H8" s="1">
        <v>3</v>
      </c>
      <c r="I8" s="23"/>
      <c r="J8" s="8">
        <f>H8*I8/10</f>
        <v>0</v>
      </c>
      <c r="K8" s="24"/>
    </row>
    <row r="9" spans="1:11" ht="51.75" customHeight="1">
      <c r="A9" s="84"/>
      <c r="B9" s="65" t="s">
        <v>60</v>
      </c>
      <c r="C9" s="66" t="s">
        <v>61</v>
      </c>
      <c r="D9" s="66"/>
      <c r="E9" s="66"/>
      <c r="F9" s="66"/>
      <c r="G9" s="28" t="s">
        <v>62</v>
      </c>
      <c r="H9" s="67">
        <v>5</v>
      </c>
      <c r="I9" s="28"/>
      <c r="J9" s="28">
        <f>H9*I9/10</f>
        <v>0</v>
      </c>
      <c r="K9" s="68"/>
    </row>
    <row r="15" spans="1:11">
      <c r="C15" s="5"/>
      <c r="D15" s="6"/>
    </row>
    <row r="25" spans="2:6">
      <c r="B25" s="39"/>
      <c r="C25" s="5"/>
      <c r="D25" s="5"/>
      <c r="E25" s="5"/>
      <c r="F25" s="5"/>
    </row>
  </sheetData>
  <mergeCells count="2">
    <mergeCell ref="A2:A9"/>
    <mergeCell ref="B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2024-05-27T05:32:57Z</dcterms:created>
  <dcterms:modified xsi:type="dcterms:W3CDTF">2025-10-02T11:45:29Z</dcterms:modified>
  <cp:category/>
  <cp:contentStatus/>
</cp:coreProperties>
</file>